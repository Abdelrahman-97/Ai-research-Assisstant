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<sst xmlns="http://schemas.openxmlformats.org/spreadsheetml/2006/main" count="85" uniqueCount="65">
  <si>
    <t xml:space="preserve">Neura — Cost Tracker</t>
  </si>
  <si>
    <t xml:space="preserve">All figures converted to USD for one common total. Edit the blue cells with the exact amounts on your card / invoices.</t>
  </si>
  <si>
    <t xml:space="preserve">FX rates → USD (edit to match your card)</t>
  </si>
  <si>
    <t xml:space="preserve">EUR → USD</t>
  </si>
  <si>
    <t xml:space="preserve">EGP → USD is ~1/48. Update all three when rates move.</t>
  </si>
  <si>
    <t xml:space="preserve">AUD → USD</t>
  </si>
  <si>
    <t xml:space="preserve">EGP → USD</t>
  </si>
  <si>
    <t xml:space="preserve">USD → USD</t>
  </si>
  <si>
    <t xml:space="preserve">RECURRING COSTS</t>
  </si>
  <si>
    <t xml:space="preserve">Item</t>
  </si>
  <si>
    <t xml:space="preserve">Provider</t>
  </si>
  <si>
    <t xml:space="preserve">Amount</t>
  </si>
  <si>
    <t xml:space="preserve">Currency</t>
  </si>
  <si>
    <t xml:space="preserve">Cycle</t>
  </si>
  <si>
    <t xml:space="preserve">FX→USD</t>
  </si>
  <si>
    <t xml:space="preserve">Monthly (USD)</t>
  </si>
  <si>
    <t xml:space="preserve">Annual (USD)</t>
  </si>
  <si>
    <t xml:space="preserve">Status</t>
  </si>
  <si>
    <t xml:space="preserve">Notes</t>
  </si>
  <si>
    <t xml:space="preserve">Server (Hetzner CX23, 4GB)</t>
  </si>
  <si>
    <t xml:space="preserve">Hetzner</t>
  </si>
  <si>
    <t xml:space="preserve">USD</t>
  </si>
  <si>
    <t xml:space="preserve">Monthly</t>
  </si>
  <si>
    <t xml:space="preserve">Paid monthly</t>
  </si>
  <si>
    <t xml:space="preserve">Main backend box. Add ~20% if you enable backups.</t>
  </si>
  <si>
    <t xml:space="preserve">Email (Zoho Mail Lite, 1 user)</t>
  </si>
  <si>
    <t xml:space="preserve">Zoho</t>
  </si>
  <si>
    <t xml:space="preserve">AUD</t>
  </si>
  <si>
    <t xml:space="preserve">Annual</t>
  </si>
  <si>
    <t xml:space="preserve">Paid</t>
  </si>
  <si>
    <t xml:space="preserve">support@ inbox. A$18/yr.</t>
  </si>
  <si>
    <t xml:space="preserve">Domain (neura-research.com)</t>
  </si>
  <si>
    <t xml:space="preserve">Namecheap</t>
  </si>
  <si>
    <t xml:space="preserve">Renews yearly. Confirm exact price.</t>
  </si>
  <si>
    <t xml:space="preserve">Frontend hosting</t>
  </si>
  <si>
    <t xml:space="preserve">Vercel</t>
  </si>
  <si>
    <t xml:space="preserve">Free</t>
  </si>
  <si>
    <t xml:space="preserve">Free tier is enough for now.</t>
  </si>
  <si>
    <t xml:space="preserve">LLM API (DeepSeek)</t>
  </si>
  <si>
    <t xml:space="preserve">DeepSeek</t>
  </si>
  <si>
    <t xml:space="preserve">Variable</t>
  </si>
  <si>
    <t xml:space="preserve">Prepaid</t>
  </si>
  <si>
    <t xml:space="preserve">Usage-based; you top up a balance. See note below.</t>
  </si>
  <si>
    <t xml:space="preserve">Payment gateway fees</t>
  </si>
  <si>
    <t xml:space="preserve">EasyKash</t>
  </si>
  <si>
    <t xml:space="preserve">EGP</t>
  </si>
  <si>
    <t xml:space="preserve">Per sale</t>
  </si>
  <si>
    <t xml:space="preserve">% per customer transaction, not a fixed cost.</t>
  </si>
  <si>
    <t xml:space="preserve">TOTAL (fixed recurring)</t>
  </si>
  <si>
    <t xml:space="preserve">ALREADY PAID (one-time / first charges)</t>
  </si>
  <si>
    <t xml:space="preserve">When</t>
  </si>
  <si>
    <t xml:space="preserve">Domain (first year)</t>
  </si>
  <si>
    <t xml:space="preserve">Setup</t>
  </si>
  <si>
    <t xml:space="preserve">Namecheap order 213220392 — confirm exact.</t>
  </si>
  <si>
    <t xml:space="preserve">Email (Zoho, first year)</t>
  </si>
  <si>
    <t xml:space="preserve">A$18 paid now.</t>
  </si>
  <si>
    <t xml:space="preserve">DeepSeek balance top-up</t>
  </si>
  <si>
    <t xml:space="preserve">Prepaid API credit.</t>
  </si>
  <si>
    <t xml:space="preserve">Server (Hetzner, first month)</t>
  </si>
  <si>
    <t xml:space="preserve">First month / prorated. Confirm.</t>
  </si>
  <si>
    <t xml:space="preserve">TOTAL PAID SO FAR</t>
  </si>
  <si>
    <t xml:space="preserve">AT A GLANCE</t>
  </si>
  <si>
    <t xml:space="preserve">Fixed cost per month (USD)</t>
  </si>
  <si>
    <t xml:space="preserve">Fixed cost per year (USD)</t>
  </si>
  <si>
    <t xml:space="preserve">Plus variable: DeepSeek usage + EasyKash % per sale (scale with customers).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</si>
</sst>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0"/>
    <numFmt numFmtId="167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A17"/>
      <name val="Arial"/>
      <family val="0"/>
      <charset val="1"/>
    </font>
    <font>
      <i val="true"/>
      <sz val="10"/>
      <color rgb="FF6B675E"/>
      <name val="Arial"/>
      <family val="0"/>
      <charset val="1"/>
    </font>
    <font>
      <b val="true"/>
      <sz val="11"/>
      <color rgb="FF4F46E5"/>
      <name val="Arial"/>
      <family val="0"/>
      <charset val="1"/>
    </font>
    <font>
      <sz val="10"/>
      <color rgb="FF1C1A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3B0"/>
        <bgColor rgb="FFFFFFCC"/>
      </patternFill>
    </fill>
    <fill>
      <patternFill patternType="solid">
        <fgColor rgb="FF4F46E5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B675E"/>
      <rgbColor rgb="FF969696"/>
      <rgbColor rgb="FF003366"/>
      <rgbColor rgb="FF339966"/>
      <rgbColor rgb="FF003300"/>
      <rgbColor rgb="FF1C1A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8" min="7" style="1" width="15"/>
    <col collapsed="false" customWidth="true" hidden="false" outlineLevel="0" max="9" min="9" style="1" width="12"/>
    <col collapsed="false" customWidth="true" hidden="false" outlineLevel="0" max="10" min="10" style="1" width="4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1.08</v>
      </c>
      <c r="D5" s="3" t="s">
        <v>4</v>
      </c>
    </row>
    <row r="6" customFormat="false" ht="15" hidden="false" customHeight="true" outlineLevel="0" collapsed="false">
      <c r="A6" s="5" t="s">
        <v>5</v>
      </c>
      <c r="B6" s="6" t="n">
        <v>0.66</v>
      </c>
    </row>
    <row r="7" customFormat="false" ht="15" hidden="false" customHeight="true" outlineLevel="0" collapsed="false">
      <c r="A7" s="5" t="s">
        <v>6</v>
      </c>
      <c r="B7" s="6" t="n">
        <v>0.021</v>
      </c>
    </row>
    <row r="8" customFormat="false" ht="15" hidden="false" customHeight="true" outlineLevel="0" collapsed="false">
      <c r="A8" s="5" t="s">
        <v>7</v>
      </c>
      <c r="B8" s="6" t="n">
        <v>1</v>
      </c>
    </row>
    <row r="10" customFormat="false" ht="15" hidden="false" customHeight="true" outlineLevel="0" collapsed="false">
      <c r="A10" s="4" t="s">
        <v>8</v>
      </c>
    </row>
    <row r="11" customFormat="false" ht="15" hidden="false" customHeight="true" outlineLevel="0" collapsed="false">
      <c r="A11" s="7" t="s">
        <v>9</v>
      </c>
      <c r="B11" s="7" t="s">
        <v>10</v>
      </c>
      <c r="C11" s="7" t="s">
        <v>11</v>
      </c>
      <c r="D11" s="7" t="s">
        <v>12</v>
      </c>
      <c r="E11" s="7" t="s">
        <v>13</v>
      </c>
      <c r="F11" s="7" t="s">
        <v>14</v>
      </c>
      <c r="G11" s="7" t="s">
        <v>15</v>
      </c>
      <c r="H11" s="7" t="s">
        <v>16</v>
      </c>
      <c r="I11" s="7" t="s">
        <v>17</v>
      </c>
      <c r="J11" s="7" t="s">
        <v>18</v>
      </c>
    </row>
    <row r="12" customFormat="false" ht="15" hidden="false" customHeight="true" outlineLevel="0" collapsed="false">
      <c r="A12" s="8" t="s">
        <v>19</v>
      </c>
      <c r="B12" s="8" t="s">
        <v>20</v>
      </c>
      <c r="C12" s="9" t="n">
        <v>7.6</v>
      </c>
      <c r="D12" s="10" t="s">
        <v>21</v>
      </c>
      <c r="E12" s="10" t="s">
        <v>22</v>
      </c>
      <c r="F12" s="11" t="n">
        <f aca="false">B8</f>
        <v>1</v>
      </c>
      <c r="G12" s="12" t="n">
        <f aca="false">IF(E12="Monthly",C12*F12,IF(E12="Annual",C12*F12/12,0))</f>
        <v>7.6</v>
      </c>
      <c r="H12" s="12" t="n">
        <f aca="false">IF(E12="Annual",C12*F12,IF(E12="Monthly",C12*F12*12,0))</f>
        <v>91.2</v>
      </c>
      <c r="I12" s="10" t="s">
        <v>23</v>
      </c>
      <c r="J12" s="8" t="s">
        <v>24</v>
      </c>
    </row>
    <row r="13" customFormat="false" ht="15" hidden="false" customHeight="true" outlineLevel="0" collapsed="false">
      <c r="A13" s="8" t="s">
        <v>25</v>
      </c>
      <c r="B13" s="8" t="s">
        <v>26</v>
      </c>
      <c r="C13" s="9" t="n">
        <v>18</v>
      </c>
      <c r="D13" s="10" t="s">
        <v>27</v>
      </c>
      <c r="E13" s="10" t="s">
        <v>28</v>
      </c>
      <c r="F13" s="11" t="n">
        <f aca="false">B6</f>
        <v>0.66</v>
      </c>
      <c r="G13" s="12" t="n">
        <f aca="false">IF(E13="Monthly",C13*F13,IF(E13="Annual",C13*F13/12,0))</f>
        <v>0.99</v>
      </c>
      <c r="H13" s="12" t="n">
        <f aca="false">IF(E13="Annual",C13*F13,IF(E13="Monthly",C13*F13*12,0))</f>
        <v>11.88</v>
      </c>
      <c r="I13" s="10" t="s">
        <v>29</v>
      </c>
      <c r="J13" s="8" t="s">
        <v>30</v>
      </c>
    </row>
    <row r="14" customFormat="false" ht="15" hidden="false" customHeight="true" outlineLevel="0" collapsed="false">
      <c r="A14" s="8" t="s">
        <v>31</v>
      </c>
      <c r="B14" s="8" t="s">
        <v>32</v>
      </c>
      <c r="C14" s="9" t="n">
        <v>13</v>
      </c>
      <c r="D14" s="10" t="s">
        <v>21</v>
      </c>
      <c r="E14" s="10" t="s">
        <v>28</v>
      </c>
      <c r="F14" s="11" t="n">
        <f aca="false">B8</f>
        <v>1</v>
      </c>
      <c r="G14" s="12" t="n">
        <f aca="false">IF(E14="Monthly",C14*F14,IF(E14="Annual",C14*F14/12,0))</f>
        <v>1.08333333333333</v>
      </c>
      <c r="H14" s="12" t="n">
        <f aca="false">IF(E14="Annual",C14*F14,IF(E14="Monthly",C14*F14*12,0))</f>
        <v>13</v>
      </c>
      <c r="I14" s="10" t="s">
        <v>29</v>
      </c>
      <c r="J14" s="8" t="s">
        <v>33</v>
      </c>
    </row>
    <row r="15" customFormat="false" ht="15" hidden="false" customHeight="true" outlineLevel="0" collapsed="false">
      <c r="A15" s="8" t="s">
        <v>34</v>
      </c>
      <c r="B15" s="8" t="s">
        <v>35</v>
      </c>
      <c r="C15" s="9" t="n">
        <v>0</v>
      </c>
      <c r="D15" s="10" t="s">
        <v>21</v>
      </c>
      <c r="E15" s="10" t="s">
        <v>22</v>
      </c>
      <c r="F15" s="11" t="n">
        <f aca="false">B8</f>
        <v>1</v>
      </c>
      <c r="G15" s="12" t="n">
        <f aca="false">IF(E15="Monthly",C15*F15,IF(E15="Annual",C15*F15/12,0))</f>
        <v>0</v>
      </c>
      <c r="H15" s="12" t="n">
        <f aca="false">IF(E15="Annual",C15*F15,IF(E15="Monthly",C15*F15*12,0))</f>
        <v>0</v>
      </c>
      <c r="I15" s="10" t="s">
        <v>36</v>
      </c>
      <c r="J15" s="8" t="s">
        <v>37</v>
      </c>
    </row>
    <row r="16" customFormat="false" ht="15" hidden="false" customHeight="true" outlineLevel="0" collapsed="false">
      <c r="A16" s="8" t="s">
        <v>38</v>
      </c>
      <c r="B16" s="8" t="s">
        <v>39</v>
      </c>
      <c r="C16" s="9" t="n">
        <v>0</v>
      </c>
      <c r="D16" s="10" t="s">
        <v>21</v>
      </c>
      <c r="E16" s="10" t="s">
        <v>40</v>
      </c>
      <c r="F16" s="11" t="n">
        <f aca="false">B8</f>
        <v>1</v>
      </c>
      <c r="G16" s="12" t="n">
        <f aca="false">IF(E16="Monthly",C16*F16,IF(E16="Annual",C16*F16/12,0))</f>
        <v>0</v>
      </c>
      <c r="H16" s="12" t="n">
        <f aca="false">IF(E16="Annual",C16*F16,IF(E16="Monthly",C16*F16*12,0))</f>
        <v>0</v>
      </c>
      <c r="I16" s="10" t="s">
        <v>41</v>
      </c>
      <c r="J16" s="8" t="s">
        <v>42</v>
      </c>
    </row>
    <row r="17" customFormat="false" ht="15" hidden="false" customHeight="true" outlineLevel="0" collapsed="false">
      <c r="A17" s="8" t="s">
        <v>43</v>
      </c>
      <c r="B17" s="8" t="s">
        <v>44</v>
      </c>
      <c r="C17" s="9" t="n">
        <v>0</v>
      </c>
      <c r="D17" s="10" t="s">
        <v>45</v>
      </c>
      <c r="E17" s="10" t="s">
        <v>40</v>
      </c>
      <c r="F17" s="11" t="n">
        <f aca="false">B7</f>
        <v>0.021</v>
      </c>
      <c r="G17" s="12" t="n">
        <f aca="false">IF(E17="Monthly",C17*F17,IF(E17="Annual",C17*F17/12,0))</f>
        <v>0</v>
      </c>
      <c r="H17" s="12" t="n">
        <f aca="false">IF(E17="Annual",C17*F17,IF(E17="Monthly",C17*F17*12,0))</f>
        <v>0</v>
      </c>
      <c r="I17" s="10" t="s">
        <v>46</v>
      </c>
      <c r="J17" s="8" t="s">
        <v>47</v>
      </c>
    </row>
    <row r="18" customFormat="false" ht="15" hidden="false" customHeight="true" outlineLevel="0" collapsed="false">
      <c r="A18" s="13" t="s">
        <v>48</v>
      </c>
      <c r="B18" s="13"/>
      <c r="C18" s="13"/>
      <c r="D18" s="13"/>
      <c r="E18" s="13"/>
      <c r="F18" s="13"/>
      <c r="G18" s="14" t="n">
        <f aca="false">SUM(G12:G17)</f>
        <v>9.67333333333333</v>
      </c>
      <c r="H18" s="14" t="n">
        <f aca="false">SUM(H12:H17)</f>
        <v>116.08</v>
      </c>
      <c r="I18" s="13"/>
      <c r="J18" s="13"/>
    </row>
    <row r="21" customFormat="false" ht="15" hidden="false" customHeight="true" outlineLevel="0" collapsed="false">
      <c r="A21" s="4" t="s">
        <v>49</v>
      </c>
    </row>
    <row r="22" customFormat="false" ht="15" hidden="false" customHeight="true" outlineLevel="0" collapsed="false">
      <c r="A22" s="7" t="s">
        <v>9</v>
      </c>
      <c r="B22" s="7" t="s">
        <v>50</v>
      </c>
      <c r="C22" s="7" t="s">
        <v>11</v>
      </c>
      <c r="D22" s="7" t="s">
        <v>12</v>
      </c>
      <c r="E22" s="7" t="s">
        <v>14</v>
      </c>
      <c r="F22" s="7" t="s">
        <v>21</v>
      </c>
      <c r="G22" s="7" t="s">
        <v>18</v>
      </c>
    </row>
    <row r="23" customFormat="false" ht="15" hidden="false" customHeight="true" outlineLevel="0" collapsed="false">
      <c r="A23" s="8" t="s">
        <v>51</v>
      </c>
      <c r="B23" s="10" t="s">
        <v>52</v>
      </c>
      <c r="C23" s="9" t="n">
        <v>13</v>
      </c>
      <c r="D23" s="10" t="s">
        <v>21</v>
      </c>
      <c r="E23" s="11" t="n">
        <f aca="false">B8</f>
        <v>1</v>
      </c>
      <c r="F23" s="12" t="n">
        <f aca="false">C23*E23</f>
        <v>13</v>
      </c>
      <c r="G23" s="8" t="s">
        <v>53</v>
      </c>
    </row>
    <row r="24" customFormat="false" ht="15" hidden="false" customHeight="true" outlineLevel="0" collapsed="false">
      <c r="A24" s="8" t="s">
        <v>54</v>
      </c>
      <c r="B24" s="10" t="s">
        <v>52</v>
      </c>
      <c r="C24" s="9" t="n">
        <v>18</v>
      </c>
      <c r="D24" s="10" t="s">
        <v>27</v>
      </c>
      <c r="E24" s="11" t="n">
        <f aca="false">B6</f>
        <v>0.66</v>
      </c>
      <c r="F24" s="12" t="n">
        <f aca="false">C24*E24</f>
        <v>11.88</v>
      </c>
      <c r="G24" s="8" t="s">
        <v>55</v>
      </c>
    </row>
    <row r="25" customFormat="false" ht="15" hidden="false" customHeight="true" outlineLevel="0" collapsed="false">
      <c r="A25" s="8" t="s">
        <v>56</v>
      </c>
      <c r="B25" s="10" t="s">
        <v>52</v>
      </c>
      <c r="C25" s="9" t="n">
        <v>2</v>
      </c>
      <c r="D25" s="10" t="s">
        <v>21</v>
      </c>
      <c r="E25" s="11" t="n">
        <f aca="false">B8</f>
        <v>1</v>
      </c>
      <c r="F25" s="12" t="n">
        <f aca="false">C25*E25</f>
        <v>2</v>
      </c>
      <c r="G25" s="8" t="s">
        <v>57</v>
      </c>
    </row>
    <row r="26" customFormat="false" ht="15" hidden="false" customHeight="true" outlineLevel="0" collapsed="false">
      <c r="A26" s="8" t="s">
        <v>58</v>
      </c>
      <c r="B26" s="10" t="s">
        <v>52</v>
      </c>
      <c r="C26" s="9" t="n">
        <v>7.6</v>
      </c>
      <c r="D26" s="10" t="s">
        <v>21</v>
      </c>
      <c r="E26" s="11" t="n">
        <f aca="false">B8</f>
        <v>1</v>
      </c>
      <c r="F26" s="12" t="n">
        <f aca="false">C26*E26</f>
        <v>7.6</v>
      </c>
      <c r="G26" s="8" t="s">
        <v>59</v>
      </c>
    </row>
    <row r="27" customFormat="false" ht="15" hidden="false" customHeight="true" outlineLevel="0" collapsed="false">
      <c r="A27" s="13" t="s">
        <v>60</v>
      </c>
      <c r="B27" s="13"/>
      <c r="C27" s="13"/>
      <c r="D27" s="13"/>
      <c r="E27" s="13"/>
      <c r="F27" s="14" t="n">
        <f aca="false">SUM(F23:F26)</f>
        <v>34.48</v>
      </c>
      <c r="G27" s="13"/>
    </row>
    <row r="30" customFormat="false" ht="15" hidden="false" customHeight="true" outlineLevel="0" collapsed="false">
      <c r="A30" s="4" t="s">
        <v>61</v>
      </c>
    </row>
    <row r="31" customFormat="false" ht="15" hidden="false" customHeight="true" outlineLevel="0" collapsed="false">
      <c r="A31" s="15" t="s">
        <v>62</v>
      </c>
      <c r="C31" s="16" t="n">
        <f aca="false">G18</f>
        <v>9.67333333333333</v>
      </c>
    </row>
    <row r="32" customFormat="false" ht="15" hidden="false" customHeight="true" outlineLevel="0" collapsed="false">
      <c r="A32" s="15" t="s">
        <v>63</v>
      </c>
      <c r="C32" s="16" t="n">
        <f aca="false">H18</f>
        <v>116.08</v>
      </c>
    </row>
    <row r="33" customFormat="false" ht="15" hidden="false" customHeight="true" outlineLevel="0" collapsed="false">
      <c r="A33" s="3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2026-09-05T12:11:13Z</dcterms:created>
  <dc:creator>openpyxl</dc:creator>
  <dc:description/>
  <dc:language>en-US</dc:language>
  <cp:lastModifiedBy/>
  <dcterms:modified xsi:type="dcterms:W3CDTF">2026-09-05T12:13:23Z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